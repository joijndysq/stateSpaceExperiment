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<sst xmlns="http://schemas.openxmlformats.org/spreadsheetml/2006/main" count="15" uniqueCount="12">
  <si>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kalman filter</t>
  </si>
  <si>
    <t>Q</t>
  </si>
  <si>
    <t>R</t>
  </si>
  <si>
    <t>抖动均值（px）</t>
  </si>
  <si>
    <t>平滑度均值</t>
  </si>
  <si>
    <t>MSE（px^2)</t>
  </si>
  <si>
    <t>RMSE(px)</t>
  </si>
  <si>
    <t>原始</t>
  </si>
  <si>
    <t>滤波后</t>
  </si>
  <si>
    <t>提升</t>
  </si>
  <si>
    <t>MSE_x axis</t>
  </si>
  <si>
    <t>MSE_y axis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</si>
</sst>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#,##0.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zoomScale="85" zoomScaleNormal="85" workbookViewId="0">
      <selection activeCell="J13" sqref="J13"/>
    </sheetView>
  </sheetViews>
  <sheetFormatPr defaultColWidth="8.88888888888889" defaultRowHeight="15.6" outlineLevelRow="7"/>
  <cols>
    <col min="1" max="1" width="5.05555555555556" customWidth="1"/>
    <col min="2" max="2" width="6.05555555555556" customWidth="1"/>
    <col min="3" max="5" width="7.05555555555556" customWidth="1"/>
    <col min="6" max="6" width="8.33333333333333" customWidth="1"/>
    <col min="7" max="8" width="7.05555555555556" customWidth="1"/>
    <col min="9" max="10" width="10.3888888888889" customWidth="1"/>
    <col min="11" max="11" width="9.05555555555556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1</v>
      </c>
      <c r="B2" s="1" t="s">
        <v>2</v>
      </c>
      <c r="C2" s="1" t="s">
        <v>3</v>
      </c>
      <c r="D2" s="1"/>
      <c r="E2" s="1"/>
      <c r="F2" s="1" t="s">
        <v>4</v>
      </c>
      <c r="G2" s="1"/>
      <c r="H2" s="1"/>
      <c r="I2" s="1" t="s">
        <v>5</v>
      </c>
      <c r="J2" s="1"/>
      <c r="K2" s="1" t="s">
        <v>6</v>
      </c>
    </row>
    <row r="3" spans="1:11">
      <c r="A3" s="1"/>
      <c r="B3" s="1"/>
      <c r="C3" s="1" t="s">
        <v>7</v>
      </c>
      <c r="D3" s="1" t="s">
        <v>8</v>
      </c>
      <c r="E3" s="1" t="s">
        <v>9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/>
    </row>
    <row r="4" spans="1:11">
      <c r="A4" s="1">
        <v>0.01</v>
      </c>
      <c r="B4" s="1">
        <v>0.1</v>
      </c>
      <c r="C4" s="1">
        <v>9.6991</v>
      </c>
      <c r="D4" s="1">
        <v>7.4943</v>
      </c>
      <c r="E4" s="2">
        <f>(C4-D4)/C4</f>
        <v>0.227320060624182</v>
      </c>
      <c r="F4" s="3">
        <v>11.0003</v>
      </c>
      <c r="G4" s="1">
        <v>4.7991</v>
      </c>
      <c r="H4" s="2">
        <f>(F4-G4)/F4</f>
        <v>0.563730080088725</v>
      </c>
      <c r="I4" s="3">
        <v>574.533</v>
      </c>
      <c r="J4" s="3">
        <v>391.191</v>
      </c>
      <c r="K4" s="3">
        <v>31.0761</v>
      </c>
    </row>
    <row r="5" spans="1:11">
      <c r="A5" s="1">
        <v>0.05</v>
      </c>
      <c r="B5" s="1">
        <v>0.1</v>
      </c>
      <c r="C5" s="1">
        <v>9.6991</v>
      </c>
      <c r="D5" s="1">
        <v>8.1746</v>
      </c>
      <c r="E5" s="2">
        <f>(C5-D5)/C5</f>
        <v>0.157179532121537</v>
      </c>
      <c r="F5" s="3">
        <v>11.0003</v>
      </c>
      <c r="G5" s="1">
        <v>6.3665</v>
      </c>
      <c r="H5" s="2">
        <f>(F5-G5)/F5</f>
        <v>0.421243057007536</v>
      </c>
      <c r="I5" s="3">
        <v>170.277</v>
      </c>
      <c r="J5" s="3">
        <v>96.081</v>
      </c>
      <c r="K5" s="3">
        <v>16.3205</v>
      </c>
    </row>
    <row r="6" spans="1:11">
      <c r="A6" s="1">
        <v>0.1</v>
      </c>
      <c r="B6" s="1">
        <v>0.1</v>
      </c>
      <c r="C6" s="1">
        <v>9.6991</v>
      </c>
      <c r="D6" s="1">
        <v>8.4769</v>
      </c>
      <c r="E6" s="2">
        <f>(C6-D6)/C6</f>
        <v>0.126011691806456</v>
      </c>
      <c r="F6" s="3">
        <v>11.0003</v>
      </c>
      <c r="G6" s="1">
        <v>7.2338</v>
      </c>
      <c r="H6" s="2">
        <f>(F6-G6)/F6</f>
        <v>0.342399752734016</v>
      </c>
      <c r="I6" s="3">
        <v>85.281</v>
      </c>
      <c r="J6" s="3">
        <v>46.166</v>
      </c>
      <c r="K6" s="3">
        <v>11.465</v>
      </c>
    </row>
    <row r="7" spans="1:11">
      <c r="A7" s="1">
        <v>0.01</v>
      </c>
      <c r="B7" s="1">
        <v>0.05</v>
      </c>
      <c r="C7" s="1">
        <v>9.6991</v>
      </c>
      <c r="D7" s="1">
        <v>7.7666</v>
      </c>
      <c r="E7" s="2">
        <f>(C7-D7)/C7</f>
        <v>0.199245290800177</v>
      </c>
      <c r="F7" s="3">
        <v>11.0003</v>
      </c>
      <c r="G7" s="4">
        <v>5.3568</v>
      </c>
      <c r="H7" s="2">
        <f>(F7-G7)/F7</f>
        <v>0.513031462778288</v>
      </c>
      <c r="I7" s="3">
        <v>357.92</v>
      </c>
      <c r="J7" s="3">
        <v>222.879</v>
      </c>
      <c r="K7" s="3">
        <v>24.0998</v>
      </c>
    </row>
    <row r="8" spans="1:11">
      <c r="A8" s="1">
        <v>0.01</v>
      </c>
      <c r="B8" s="1">
        <v>0.005</v>
      </c>
      <c r="C8" s="1">
        <v>9.6991</v>
      </c>
      <c r="D8" s="1">
        <v>8.8001</v>
      </c>
      <c r="E8" s="2">
        <f>(C8-D8)/C8</f>
        <v>0.0926890123825921</v>
      </c>
      <c r="F8" s="3">
        <v>11.0003</v>
      </c>
      <c r="G8" s="1">
        <v>8.2511</v>
      </c>
      <c r="H8" s="2">
        <f>(F8-G8)/F8</f>
        <v>0.249920456714817</v>
      </c>
      <c r="I8" s="3">
        <v>37.828</v>
      </c>
      <c r="J8" s="3">
        <v>19.908</v>
      </c>
      <c r="K8" s="3">
        <v>7.5984</v>
      </c>
    </row>
  </sheetData>
  <mergeCells count="7">
    <mergeCell ref="A1:K1"/>
    <mergeCell ref="C2:E2"/>
    <mergeCell ref="F2:H2"/>
    <mergeCell ref="I2:J2"/>
    <mergeCell ref="A2:A3"/>
    <mergeCell ref="B2:B3"/>
    <mergeCell ref="K2:K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lyric</dc:creator>
  <cp:lastModifiedBy>WPS_1694264630</cp:lastModifiedBy>
  <dcterms:created xsi:type="dcterms:W3CDTF">2025-12-05T23:51:00Z</dcterms:created>
  <dcterms:modified xsi:type="dcterms:W3CDTF">2025-12-06T17:17:07Z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10C0D9DF16CE27BD0C8F3269EF79471B_41</vt:lpwstr>
  </property>
  <property fmtid="{D5CDD505-2E9C-101B-9397-08002B2CF9AE}" pid="3" name="KSOProductBuildVer">
    <vt:lpwstr>2052-12.1.0.17900</vt:lpwstr>
  </property>
</Properties>
</file>